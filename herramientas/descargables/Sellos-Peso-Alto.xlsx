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los" state="visible" r:id="rId4"/>
  </sheets>
  <calcPr calcId="171027"/>
</workbook>
</file>

<file path=xl/sharedStrings.xml><?xml version="1.0" encoding="utf-8"?>
<sst xmlns="http://schemas.openxmlformats.org/spreadsheetml/2006/main" count="79" uniqueCount="59">
  <si>
    <t>Identificación de Sellos con Peso Alto</t>
  </si>
  <si>
    <t>Corte operativo: 15 kg por sello · Rojo = no entra al ASR · Verde = liberado · Gris = peso sin capturar</t>
  </si>
  <si>
    <t>Material</t>
  </si>
  <si>
    <t>Lote</t>
  </si>
  <si>
    <t>Descripción</t>
  </si>
  <si>
    <t>Cantidad</t>
  </si>
  <si>
    <t>Fecha</t>
  </si>
  <si>
    <t>Peso (kg)</t>
  </si>
  <si>
    <t>Destino</t>
  </si>
  <si>
    <t>¿Ingresa?</t>
  </si>
  <si>
    <t>SL-4471</t>
  </si>
  <si>
    <t>L-2201</t>
  </si>
  <si>
    <t>Sello moldeado 64 CKT negro</t>
  </si>
  <si>
    <t>22/01/2026</t>
  </si>
  <si>
    <t>CTEMP</t>
  </si>
  <si>
    <t>SL-4472</t>
  </si>
  <si>
    <t>L-2202</t>
  </si>
  <si>
    <t>Sello moldeado 72 CKT negro</t>
  </si>
  <si>
    <t>SL-4473</t>
  </si>
  <si>
    <t>L-2203</t>
  </si>
  <si>
    <t>Sello moldeado 80 CKT negro</t>
  </si>
  <si>
    <t>23/01/2026</t>
  </si>
  <si>
    <t>SL-4480</t>
  </si>
  <si>
    <t>L-2210</t>
  </si>
  <si>
    <t>Backshell 2x12 negro</t>
  </si>
  <si>
    <t>FIJA</t>
  </si>
  <si>
    <t>SL-4481</t>
  </si>
  <si>
    <t>L-2211</t>
  </si>
  <si>
    <t>Backshell 2x12 gris</t>
  </si>
  <si>
    <t>SL-4490</t>
  </si>
  <si>
    <t>L-2220</t>
  </si>
  <si>
    <t>Housing 0.64S TPA negro</t>
  </si>
  <si>
    <t>—</t>
  </si>
  <si>
    <t>Daifuku</t>
  </si>
  <si>
    <t>SL-4491</t>
  </si>
  <si>
    <t>L-2221</t>
  </si>
  <si>
    <t>Housing 0.64S TPA gris</t>
  </si>
  <si>
    <t>24/01/2026</t>
  </si>
  <si>
    <t>SL-4492</t>
  </si>
  <si>
    <t>L-2222</t>
  </si>
  <si>
    <t>Cover dress 48 CKT</t>
  </si>
  <si>
    <t>SL-4500</t>
  </si>
  <si>
    <t>L-2230</t>
  </si>
  <si>
    <t>Cover dress 56 CKT</t>
  </si>
  <si>
    <t>OPCENTE</t>
  </si>
  <si>
    <t>SL-4501</t>
  </si>
  <si>
    <t>L-2231</t>
  </si>
  <si>
    <t>Sello 40 CKT compacto</t>
  </si>
  <si>
    <t>SL-4502</t>
  </si>
  <si>
    <t>L-2232</t>
  </si>
  <si>
    <t>Sello 32 CKT compacto</t>
  </si>
  <si>
    <t>SL-4510</t>
  </si>
  <si>
    <t>L-2240</t>
  </si>
  <si>
    <t>Sello especial alta densidad</t>
  </si>
  <si>
    <t>RESUMEN</t>
  </si>
  <si>
    <t>No entran (&gt;15 kg):</t>
  </si>
  <si>
    <t>Sin peso capturado:</t>
  </si>
  <si>
    <t>Total registros:</t>
  </si>
  <si>
    <t>Hallazgo: un sello sin peso capturado PASA el filtro (un campo vacío no supera ningún límite).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</si>
</sst>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rgb="FF141923"/>
      <sz val="14"/>
    </font>
    <font>
      <i/>
      <color rgb="FF8A93A2"/>
      <sz val="10"/>
    </font>
    <font>
      <b/>
      <color rgb="FFFFFFFF"/>
      <sz val="11"/>
    </font>
    <font>
      <b/>
    </font>
    <font>
      <b/>
      <color rgb="FFEF4444"/>
    </font>
    <font>
      <b/>
      <color rgb="FF8A93A2"/>
    </font>
    <font>
      <i/>
      <color rgb="FF8A93A2"/>
      <sz val="9"/>
    </font>
  </fonts>
  <fills count="3">
    <fill>
      <patternFill patternType="none"/>
    </fill>
    <fill>
      <patternFill patternType="gray125"/>
    </fill>
    <fill>
      <patternFill patternType="solid">
        <fgColor rgb="FF2DB3A6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2"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FFFFFF"/>
      </font>
      <fill>
        <patternFill patternType="solid">
          <bgColor rgb="FF10B9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4" customWidth="1"/>
    <col min="4" max="4" width="11" customWidth="1"/>
    <col min="5" max="5" width="13" customWidth="1"/>
    <col min="6" max="6" width="11" customWidth="1"/>
    <col min="7" max="7" width="12" customWidth="1"/>
    <col min="8" max="8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 t="s">
        <v>11</v>
      </c>
      <c r="C5" s="5" t="s">
        <v>12</v>
      </c>
      <c r="D5" s="5">
        <v>480</v>
      </c>
      <c r="E5" s="5" t="s">
        <v>13</v>
      </c>
      <c r="F5" s="6">
        <v>18.4</v>
      </c>
      <c r="G5" s="5" t="s">
        <v>14</v>
      </c>
      <c r="H5" s="5">
        <f>IF(F5="—","⚠ SIN PESO",IF(F5&gt;15,"NO","SÍ"))</f>
      </c>
    </row>
    <row r="6" spans="1:8" x14ac:dyDescent="0.25">
      <c r="A6" s="4" t="s">
        <v>15</v>
      </c>
      <c r="B6" s="5" t="s">
        <v>16</v>
      </c>
      <c r="C6" s="5" t="s">
        <v>17</v>
      </c>
      <c r="D6" s="5">
        <v>420</v>
      </c>
      <c r="E6" s="5" t="s">
        <v>13</v>
      </c>
      <c r="F6" s="6">
        <v>16.9</v>
      </c>
      <c r="G6" s="5" t="s">
        <v>14</v>
      </c>
      <c r="H6" s="5">
        <f>IF(F6="—","⚠ SIN PESO",IF(F6&gt;15,"NO","SÍ"))</f>
      </c>
    </row>
    <row r="7" spans="1:8" x14ac:dyDescent="0.25">
      <c r="A7" s="4" t="s">
        <v>18</v>
      </c>
      <c r="B7" s="5" t="s">
        <v>19</v>
      </c>
      <c r="C7" s="5" t="s">
        <v>20</v>
      </c>
      <c r="D7" s="5">
        <v>360</v>
      </c>
      <c r="E7" s="5" t="s">
        <v>21</v>
      </c>
      <c r="F7" s="6">
        <v>15.6</v>
      </c>
      <c r="G7" s="5" t="s">
        <v>14</v>
      </c>
      <c r="H7" s="5">
        <f>IF(F7="—","⚠ SIN PESO",IF(F7&gt;15,"NO","SÍ"))</f>
      </c>
    </row>
    <row r="8" spans="1:8" x14ac:dyDescent="0.25">
      <c r="A8" s="4" t="s">
        <v>22</v>
      </c>
      <c r="B8" s="5" t="s">
        <v>23</v>
      </c>
      <c r="C8" s="5" t="s">
        <v>24</v>
      </c>
      <c r="D8" s="5">
        <v>300</v>
      </c>
      <c r="E8" s="5" t="s">
        <v>21</v>
      </c>
      <c r="F8" s="6">
        <v>14.2</v>
      </c>
      <c r="G8" s="5" t="s">
        <v>25</v>
      </c>
      <c r="H8" s="5">
        <f>IF(F8="—","⚠ SIN PESO",IF(F8&gt;15,"NO","SÍ"))</f>
      </c>
    </row>
    <row r="9" spans="1:8" x14ac:dyDescent="0.25">
      <c r="A9" s="4" t="s">
        <v>26</v>
      </c>
      <c r="B9" s="5" t="s">
        <v>27</v>
      </c>
      <c r="C9" s="5" t="s">
        <v>28</v>
      </c>
      <c r="D9" s="5">
        <v>280</v>
      </c>
      <c r="E9" s="5" t="s">
        <v>21</v>
      </c>
      <c r="F9" s="6">
        <v>12.8</v>
      </c>
      <c r="G9" s="5" t="s">
        <v>25</v>
      </c>
      <c r="H9" s="5">
        <f>IF(F9="—","⚠ SIN PESO",IF(F9&gt;15,"NO","SÍ"))</f>
      </c>
    </row>
    <row r="10" spans="1:8" x14ac:dyDescent="0.25">
      <c r="A10" s="4" t="s">
        <v>29</v>
      </c>
      <c r="B10" s="5" t="s">
        <v>30</v>
      </c>
      <c r="C10" s="5" t="s">
        <v>31</v>
      </c>
      <c r="D10" s="5">
        <v>540</v>
      </c>
      <c r="E10" s="5" t="s">
        <v>21</v>
      </c>
      <c r="F10" s="6" t="s">
        <v>32</v>
      </c>
      <c r="G10" s="5" t="s">
        <v>33</v>
      </c>
      <c r="H10" s="5">
        <f>IF(F10="—","⚠ SIN PESO",IF(F10&gt;15,"NO","SÍ"))</f>
      </c>
    </row>
    <row r="11" spans="1:8" x14ac:dyDescent="0.25">
      <c r="A11" s="4" t="s">
        <v>34</v>
      </c>
      <c r="B11" s="5" t="s">
        <v>35</v>
      </c>
      <c r="C11" s="5" t="s">
        <v>36</v>
      </c>
      <c r="D11" s="5">
        <v>510</v>
      </c>
      <c r="E11" s="5" t="s">
        <v>37</v>
      </c>
      <c r="F11" s="6" t="s">
        <v>32</v>
      </c>
      <c r="G11" s="5" t="s">
        <v>33</v>
      </c>
      <c r="H11" s="5">
        <f>IF(F11="—","⚠ SIN PESO",IF(F11&gt;15,"NO","SÍ"))</f>
      </c>
    </row>
    <row r="12" spans="1:8" x14ac:dyDescent="0.25">
      <c r="A12" s="4" t="s">
        <v>38</v>
      </c>
      <c r="B12" s="5" t="s">
        <v>39</v>
      </c>
      <c r="C12" s="5" t="s">
        <v>40</v>
      </c>
      <c r="D12" s="5">
        <v>600</v>
      </c>
      <c r="E12" s="5" t="s">
        <v>37</v>
      </c>
      <c r="F12" s="6">
        <v>9.4</v>
      </c>
      <c r="G12" s="5" t="s">
        <v>33</v>
      </c>
      <c r="H12" s="5">
        <f>IF(F12="—","⚠ SIN PESO",IF(F12&gt;15,"NO","SÍ"))</f>
      </c>
    </row>
    <row r="13" spans="1:8" x14ac:dyDescent="0.25">
      <c r="A13" s="4" t="s">
        <v>41</v>
      </c>
      <c r="B13" s="5" t="s">
        <v>42</v>
      </c>
      <c r="C13" s="5" t="s">
        <v>43</v>
      </c>
      <c r="D13" s="5">
        <v>580</v>
      </c>
      <c r="E13" s="5" t="s">
        <v>37</v>
      </c>
      <c r="F13" s="6" t="s">
        <v>32</v>
      </c>
      <c r="G13" s="5" t="s">
        <v>44</v>
      </c>
      <c r="H13" s="5">
        <f>IF(F13="—","⚠ SIN PESO",IF(F13&gt;15,"NO","SÍ"))</f>
      </c>
    </row>
    <row r="14" spans="1:8" x14ac:dyDescent="0.25">
      <c r="A14" s="4" t="s">
        <v>45</v>
      </c>
      <c r="B14" s="5" t="s">
        <v>46</v>
      </c>
      <c r="C14" s="5" t="s">
        <v>47</v>
      </c>
      <c r="D14" s="5">
        <v>640</v>
      </c>
      <c r="E14" s="5" t="s">
        <v>37</v>
      </c>
      <c r="F14" s="6">
        <v>7.1</v>
      </c>
      <c r="G14" s="5" t="s">
        <v>44</v>
      </c>
      <c r="H14" s="5">
        <f>IF(F14="—","⚠ SIN PESO",IF(F14&gt;15,"NO","SÍ"))</f>
      </c>
    </row>
    <row r="15" spans="1:8" x14ac:dyDescent="0.25">
      <c r="A15" s="4" t="s">
        <v>48</v>
      </c>
      <c r="B15" s="5" t="s">
        <v>49</v>
      </c>
      <c r="C15" s="5" t="s">
        <v>50</v>
      </c>
      <c r="D15" s="5">
        <v>700</v>
      </c>
      <c r="E15" s="5" t="s">
        <v>37</v>
      </c>
      <c r="F15" s="6">
        <v>6.3</v>
      </c>
      <c r="G15" s="5" t="s">
        <v>44</v>
      </c>
      <c r="H15" s="5">
        <f>IF(F15="—","⚠ SIN PESO",IF(F15&gt;15,"NO","SÍ"))</f>
      </c>
    </row>
    <row r="16" spans="1:8" x14ac:dyDescent="0.25">
      <c r="A16" s="4" t="s">
        <v>51</v>
      </c>
      <c r="B16" s="5" t="s">
        <v>52</v>
      </c>
      <c r="C16" s="5" t="s">
        <v>53</v>
      </c>
      <c r="D16" s="5">
        <v>220</v>
      </c>
      <c r="E16" s="5" t="s">
        <v>37</v>
      </c>
      <c r="F16" s="6" t="s">
        <v>32</v>
      </c>
      <c r="G16" s="5" t="s">
        <v>14</v>
      </c>
      <c r="H16" s="5">
        <f>IF(F16="—","⚠ SIN PESO",IF(F16&gt;15,"NO","SÍ"))</f>
      </c>
    </row>
    <row r="18" spans="1:1" x14ac:dyDescent="0.25">
      <c r="A18" s="7" t="s">
        <v>54</v>
      </c>
    </row>
    <row r="19" spans="1:2" x14ac:dyDescent="0.25">
      <c r="A19" t="s">
        <v>55</v>
      </c>
      <c r="B19" s="8">
        <f>COUNTIF(F5:F16,"&gt;15")</f>
      </c>
    </row>
    <row r="20" spans="1:2" x14ac:dyDescent="0.25">
      <c r="A20" t="s">
        <v>56</v>
      </c>
      <c r="B20" s="9">
        <f>COUNTIF(F5:F16,"—")</f>
      </c>
    </row>
    <row r="21" spans="1:2" x14ac:dyDescent="0.25">
      <c r="A21" t="s">
        <v>57</v>
      </c>
      <c r="B21" s="7">
        <v>12</v>
      </c>
    </row>
    <row r="23" spans="1:1" x14ac:dyDescent="0.25">
      <c r="A23" s="10" t="s">
        <v>58</v>
      </c>
    </row>
  </sheetData>
  <conditionalFormatting sqref="F5:F16">
    <cfRule type="cellIs" dxfId="0" priority="1" operator="greaterThan">
      <formula>15</formula>
    </cfRule>
    <cfRule type="cellIs" dxfId="1" priority="2" operator="lessThanOrEqual">
      <formula>15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Gaspar Aguayo</dc:creator>
  <dc:title/>
  <dc:subject/>
  <dc:description/>
  <cp:keywords/>
  <cp:category/>
  <cp:lastModifiedBy>Unknown</cp:lastModifiedBy>
  <dcterms:created xsi:type="dcterms:W3CDTF">2026-08-17T19:15:22Z</dcterms:created>
  <dcterms:modified xsi:type="dcterms:W3CDTF">2026-08-17T19:15:22Z</dcterms:modified>
</cp:coreProperties>
</file>