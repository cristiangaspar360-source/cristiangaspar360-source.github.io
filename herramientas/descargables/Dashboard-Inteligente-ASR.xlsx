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▶ INICIO" state="visible" r:id="rId4"/>
    <sheet sheetId="2" name="01 · Respaldos" state="visible" r:id="rId5"/>
    <sheet sheetId="3" name="02 · Totes" state="visible" r:id="rId6"/>
    <sheet sheetId="4" name="03 · Rechazos" state="visible" r:id="rId7"/>
    <sheet sheetId="5" name="04 · Paso" state="visible" r:id="rId8"/>
    <sheet sheetId="6" name="05 · Tránsito" state="visible" r:id="rId9"/>
    <sheet sheetId="7" name="06 · KPIs" state="visible" r:id="rId10"/>
  </sheets>
  <calcPr calcId="171027"/>
</workbook>
</file>

<file path=xl/sharedStrings.xml><?xml version="1.0" encoding="utf-8"?>
<sst xmlns="http://schemas.openxmlformats.org/spreadsheetml/2006/main" count="212" uniqueCount="161">
  <si>
    <t>Dashboard Inteligente de Capacidad ASR</t>
  </si>
  <si>
    <t>Daifuku Shuttle Rack M · 6 módulos en un solo archivo · Datos demo precargados</t>
  </si>
  <si>
    <t>QUÉ ES</t>
  </si>
  <si>
    <t>Un tablero que responde una sola pregunta: ¿el rack automático puede recibir lo que viene? Reúne los seis módulos que antes eran hojas sueltas: respaldos, totes vacíos, rechazos, materiales en paso, transferencias y alertas de capacidad.</t>
  </si>
  <si>
    <t>CÓMO USARLO EN 3 PASOS</t>
  </si>
  <si>
    <t>1.  Abre cada pestaña de módulo (abajo). Ya traen datos de ejemplo.</t>
  </si>
  <si>
    <t>2.  Reemplaza los datos demo con tus extracciones de SAP / WRX (pega sobre las filas).</t>
  </si>
  <si>
    <t>3.  La pestaña «06 · KPIs» resume todo con semáforos de color.</t>
  </si>
  <si>
    <t>LOS 6 MÓDULOS</t>
  </si>
  <si>
    <t>01 · Respaldos    — Registro automático de información por turno</t>
  </si>
  <si>
    <t>02 · Totes         — Control de contenedores vacíos y su disponibilidad</t>
  </si>
  <si>
    <t>03 · Rechazos      — Errores del ASR ordenados por Pareto (regla 80/20)</t>
  </si>
  <si>
    <t>04 · Paso          — Materiales estacionados en localidades intermedias</t>
  </si>
  <si>
    <t>05 · Tránsito      — Transferencias (TO) en curso entre ubicaciones</t>
  </si>
  <si>
    <t>06 · KPIs          — Semáforo de capacidad: verde / amarillo / rojo</t>
  </si>
  <si>
    <t>EXPORTAR</t>
  </si>
  <si>
    <t>•  A CSV:  Archivo → Guardar como → CSV (para volver a importar en otro sistema)</t>
  </si>
  <si>
    <t>•  A PDF:  Archivo → Exportar → Crear PDF (para compartir el tablero del turno)</t>
  </si>
  <si>
    <t>CONECTAR CON SAP (opcional, avanzado)</t>
  </si>
  <si>
    <t>Datos → Obtener datos → Desde otras fuentes. Configura Power Query apuntando a tu extracción de SAP y el tablero se actualizará solo con el botón «Actualizar todo».</t>
  </si>
  <si>
    <t>Versión 1.0 (demo) · Los números de parte están anonimizados (NP-001…).</t>
  </si>
  <si>
    <t>Módulo 01 · Respaldo Automático por Turno</t>
  </si>
  <si>
    <t>Un botón dispara el script contra SAP; aquí queda el registro con sello de tiempo.</t>
  </si>
  <si>
    <t>Turno</t>
  </si>
  <si>
    <t>Fecha</t>
  </si>
  <si>
    <t>Inicio</t>
  </si>
  <si>
    <t>Cierre</t>
  </si>
  <si>
    <t>Estado</t>
  </si>
  <si>
    <t>Archivo respaldado</t>
  </si>
  <si>
    <t>T2</t>
  </si>
  <si>
    <t>24/01/2026</t>
  </si>
  <si>
    <t>06:00</t>
  </si>
  <si>
    <t>14:00</t>
  </si>
  <si>
    <t>✓ Completado</t>
  </si>
  <si>
    <t>ASR_20260124_T2.csv</t>
  </si>
  <si>
    <t>T1</t>
  </si>
  <si>
    <t>22:00</t>
  </si>
  <si>
    <t>ASR_20260124_T1.csv</t>
  </si>
  <si>
    <t>T3</t>
  </si>
  <si>
    <t>23/01/2026</t>
  </si>
  <si>
    <t>ASR_20260123_T3.csv</t>
  </si>
  <si>
    <t>ASR_20260123_T2.csv</t>
  </si>
  <si>
    <t>ASR_20260123_T1.csv</t>
  </si>
  <si>
    <t>22/01/2026</t>
  </si>
  <si>
    <t>⚠ Parcial</t>
  </si>
  <si>
    <t>ASR_20260122_T3.csv</t>
  </si>
  <si>
    <t>ASR_20260122_T2.csv</t>
  </si>
  <si>
    <t>Módulo 02 · Control de Totes Vacíos</t>
  </si>
  <si>
    <t>Disponibilidad real de contenedores; base para saber cuánto puede entrar al rack.</t>
  </si>
  <si>
    <t>Tote ID</t>
  </si>
  <si>
    <t>Ubicación</t>
  </si>
  <si>
    <t>Peso (kg)</t>
  </si>
  <si>
    <t>Actualizado</t>
  </si>
  <si>
    <t>T-001</t>
  </si>
  <si>
    <t>A-01</t>
  </si>
  <si>
    <t>Disponible</t>
  </si>
  <si>
    <t>13:20</t>
  </si>
  <si>
    <t>T-002</t>
  </si>
  <si>
    <t>A-02</t>
  </si>
  <si>
    <t>En uso</t>
  </si>
  <si>
    <t>11:05</t>
  </si>
  <si>
    <t>T-003</t>
  </si>
  <si>
    <t>B-01</t>
  </si>
  <si>
    <t>13:41</t>
  </si>
  <si>
    <t>T-004</t>
  </si>
  <si>
    <t>B-02</t>
  </si>
  <si>
    <t>09:30</t>
  </si>
  <si>
    <t>T-005</t>
  </si>
  <si>
    <t>C-01</t>
  </si>
  <si>
    <t>13:55</t>
  </si>
  <si>
    <t>T-006</t>
  </si>
  <si>
    <t>C-02</t>
  </si>
  <si>
    <t>12:10</t>
  </si>
  <si>
    <t>T-007</t>
  </si>
  <si>
    <t>D-01</t>
  </si>
  <si>
    <t>Mantenimiento</t>
  </si>
  <si>
    <t>08:15</t>
  </si>
  <si>
    <t>T-008</t>
  </si>
  <si>
    <t>D-02</t>
  </si>
  <si>
    <t>13:48</t>
  </si>
  <si>
    <t>Disponibles:</t>
  </si>
  <si>
    <t>Módulo 03 · Gestión de Rechazos y Errores</t>
  </si>
  <si>
    <t>Periodo 22–24 ene 2026 · 150 eventos · Ordenado por Pareto (regla 80/20).</t>
  </si>
  <si>
    <t>Razón del rechazo</t>
  </si>
  <si>
    <t>Eventos</t>
  </si>
  <si>
    <t>% del total</t>
  </si>
  <si>
    <t>% acumulado</t>
  </si>
  <si>
    <t>Acción</t>
  </si>
  <si>
    <t>Ubicación inhabilitada</t>
  </si>
  <si>
    <t>WRX</t>
  </si>
  <si>
    <t>Tote con carga pendiente en WRX</t>
  </si>
  <si>
    <t>Sin expediente de recibo</t>
  </si>
  <si>
    <t>SAP</t>
  </si>
  <si>
    <t>Código de barras ilegible</t>
  </si>
  <si>
    <t>Etiqueta</t>
  </si>
  <si>
    <t>Orden afectada</t>
  </si>
  <si>
    <t>Tote duplicado en WRX</t>
  </si>
  <si>
    <t>Carga desconocida</t>
  </si>
  <si>
    <t>LT22</t>
  </si>
  <si>
    <t>TOTAL</t>
  </si>
  <si>
    <t/>
  </si>
  <si>
    <t>Lectura: 3 causas = 68.7% de los rechazos. Son fallas de DATO, no de máquina.</t>
  </si>
  <si>
    <t>Módulo 04 · Materiales en Localidades de Paso</t>
  </si>
  <si>
    <t>Material estacionado en zonas intermedias antes de entrar al ASR.</t>
  </si>
  <si>
    <t>Localidad</t>
  </si>
  <si>
    <t>Material (NP)</t>
  </si>
  <si>
    <t>Cantidad</t>
  </si>
  <si>
    <t>% Ocupación</t>
  </si>
  <si>
    <t>PREP-01</t>
  </si>
  <si>
    <t>NP-001</t>
  </si>
  <si>
    <t>PREP-02</t>
  </si>
  <si>
    <t>NP-002</t>
  </si>
  <si>
    <t>PREP-03</t>
  </si>
  <si>
    <t>NP-003</t>
  </si>
  <si>
    <t>PREP-04</t>
  </si>
  <si>
    <t>NP-004</t>
  </si>
  <si>
    <t>PREP-05</t>
  </si>
  <si>
    <t>NP-005</t>
  </si>
  <si>
    <t>Módulo 05 · Transferencias en Tránsito</t>
  </si>
  <si>
    <t>Órdenes de transferencia (TO) en curso entre ubicaciones.</t>
  </si>
  <si>
    <t>TO</t>
  </si>
  <si>
    <t>Origen</t>
  </si>
  <si>
    <t>Destino</t>
  </si>
  <si>
    <t>LT-001</t>
  </si>
  <si>
    <t>ASR-A</t>
  </si>
  <si>
    <t>En tránsito</t>
  </si>
  <si>
    <t>LT-002</t>
  </si>
  <si>
    <t>ASR-B</t>
  </si>
  <si>
    <t>Recibido</t>
  </si>
  <si>
    <t>LT-003</t>
  </si>
  <si>
    <t>ALMACÉN</t>
  </si>
  <si>
    <t>LT-004</t>
  </si>
  <si>
    <t>LT-005</t>
  </si>
  <si>
    <t>ASR-C</t>
  </si>
  <si>
    <t>Módulo 06 · Alertas Visuales de Capacidad</t>
  </si>
  <si>
    <t>El resumen del turno: un vistazo dice si el rack aguanta.</t>
  </si>
  <si>
    <t>Indicador</t>
  </si>
  <si>
    <t>Valor</t>
  </si>
  <si>
    <t>Qué hacer</t>
  </si>
  <si>
    <t>Ocupación ASR</t>
  </si>
  <si>
    <t>95.4%</t>
  </si>
  <si>
    <t>CRÍTICO</t>
  </si>
  <si>
    <t>Frenar entradas; priorizar salidas</t>
  </si>
  <si>
    <t>Totes vacíos</t>
  </si>
  <si>
    <t>5 / 8</t>
  </si>
  <si>
    <t>Normal</t>
  </si>
  <si>
    <t>Suficientes para el turno</t>
  </si>
  <si>
    <t>Rechazos hoy</t>
  </si>
  <si>
    <t>3</t>
  </si>
  <si>
    <t>Dentro del rango esperado</t>
  </si>
  <si>
    <t>5</t>
  </si>
  <si>
    <t>Atención</t>
  </si>
  <si>
    <t>Vigilar recepción de LT-001/003/005</t>
  </si>
  <si>
    <t>Capacidad libre</t>
  </si>
  <si>
    <t>4.6%</t>
  </si>
  <si>
    <t>No cabe una ola completa</t>
  </si>
  <si>
    <t>LEYENDA</t>
  </si>
  <si>
    <t>0 – 60%</t>
  </si>
  <si>
    <t>61 – 80%</t>
  </si>
  <si>
    <t>Crítico</t>
  </si>
  <si>
    <t>81 –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</si>
</sst>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color theme="1"/>
      <family val="2"/>
      <scheme val="minor"/>
      <sz val="11"/>
      <name val="Calibri"/>
    </font>
    <font>
      <b/>
      <color rgb="FF141923"/>
      <sz val="14"/>
      <name val="Calibri"/>
    </font>
    <font>
      <i/>
      <color rgb="FF8A93A2"/>
      <sz val="10"/>
    </font>
    <font>
      <b/>
      <color rgb="FF2DB3A6"/>
      <sz val="11"/>
    </font>
    <font>
      <color rgb="FF141923"/>
      <sz val="10"/>
    </font>
    <font>
      <b/>
      <color rgb="FFFFFFFF"/>
      <sz val="11"/>
      <name val="Calibri"/>
    </font>
    <font>
      <b/>
      <color rgb="FF10B981"/>
    </font>
    <font>
      <b/>
      <color rgb="FFF59E0B"/>
    </font>
    <font>
      <b/>
      <color rgb="FFEF4444"/>
    </font>
    <font>
      <b/>
    </font>
    <font>
      <i/>
      <color rgb="FF8A93A2"/>
      <sz val="9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2DB3A6"/>
      </patternFill>
    </fill>
    <fill>
      <patternFill patternType="solid">
        <fgColor rgb="FFE0F2F1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/>
    <xf numFmtId="164" fontId="0" fillId="0" borderId="1" xfId="0" applyNumberForma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9" fontId="0" fillId="0" borderId="1" xfId="0" applyNumberForma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B3A6"/>
  </sheetPr>
  <dimension ref="B2:B28"/>
  <sheetFormatPr defaultRowHeight="15" outlineLevelRow="0" outlineLevelCol="0" x14ac:dyDescent="55"/>
  <cols>
    <col min="1" max="1" width="4" customWidth="1"/>
    <col min="2" max="2" width="9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ht="42" customHeight="1" spans="2:2" x14ac:dyDescent="0.25">
      <c r="B6" s="4" t="s">
        <v>3</v>
      </c>
    </row>
    <row r="8" spans="2:2" x14ac:dyDescent="0.25">
      <c r="B8" s="3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1" spans="2:2" x14ac:dyDescent="0.25">
      <c r="B11" s="4" t="s">
        <v>7</v>
      </c>
    </row>
    <row r="13" spans="2:2" x14ac:dyDescent="0.25">
      <c r="B13" s="3" t="s">
        <v>8</v>
      </c>
    </row>
    <row r="14" spans="2:2" x14ac:dyDescent="0.25">
      <c r="B14" s="4" t="s">
        <v>9</v>
      </c>
    </row>
    <row r="15" spans="2:2" x14ac:dyDescent="0.25">
      <c r="B15" s="4" t="s">
        <v>10</v>
      </c>
    </row>
    <row r="16" spans="2:2" x14ac:dyDescent="0.25">
      <c r="B16" s="4" t="s">
        <v>11</v>
      </c>
    </row>
    <row r="17" spans="2:2" x14ac:dyDescent="0.25">
      <c r="B17" s="4" t="s">
        <v>12</v>
      </c>
    </row>
    <row r="18" spans="2:2" x14ac:dyDescent="0.25">
      <c r="B18" s="4" t="s">
        <v>13</v>
      </c>
    </row>
    <row r="19" spans="2:2" x14ac:dyDescent="0.25">
      <c r="B19" s="4" t="s">
        <v>14</v>
      </c>
    </row>
    <row r="21" spans="2:2" x14ac:dyDescent="0.25">
      <c r="B21" s="3" t="s">
        <v>15</v>
      </c>
    </row>
    <row r="22" spans="2:2" x14ac:dyDescent="0.25">
      <c r="B22" s="4" t="s">
        <v>16</v>
      </c>
    </row>
    <row r="23" spans="2:2" x14ac:dyDescent="0.25">
      <c r="B23" s="4" t="s">
        <v>17</v>
      </c>
    </row>
    <row r="25" spans="2:2" x14ac:dyDescent="0.25">
      <c r="B25" s="3" t="s">
        <v>18</v>
      </c>
    </row>
    <row r="26" ht="42" customHeight="1" spans="2:2" x14ac:dyDescent="0.25">
      <c r="B26" s="4" t="s">
        <v>19</v>
      </c>
    </row>
    <row r="28" spans="2:2" x14ac:dyDescent="0.25">
      <c r="B28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14" customWidth="1"/>
    <col min="3" max="4" width="13" customWidth="1"/>
    <col min="5" max="5" width="16" customWidth="1"/>
    <col min="6" max="6" width="24" customWidth="1"/>
  </cols>
  <sheetData>
    <row r="1" spans="1:1" x14ac:dyDescent="0.25">
      <c r="A1" s="1" t="s">
        <v>21</v>
      </c>
    </row>
    <row r="2" spans="1:1" x14ac:dyDescent="0.25">
      <c r="A2" s="2" t="s">
        <v>22</v>
      </c>
    </row>
    <row r="4" spans="1:6" x14ac:dyDescent="0.2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</row>
    <row r="5" spans="1:6" x14ac:dyDescent="0.25">
      <c r="A5" s="6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</row>
    <row r="6" spans="1:6" x14ac:dyDescent="0.25">
      <c r="A6" s="6" t="s">
        <v>35</v>
      </c>
      <c r="B6" s="7" t="s">
        <v>30</v>
      </c>
      <c r="C6" s="7" t="s">
        <v>36</v>
      </c>
      <c r="D6" s="7" t="s">
        <v>31</v>
      </c>
      <c r="E6" s="7" t="s">
        <v>33</v>
      </c>
      <c r="F6" s="7" t="s">
        <v>37</v>
      </c>
    </row>
    <row r="7" spans="1:6" x14ac:dyDescent="0.25">
      <c r="A7" s="6" t="s">
        <v>38</v>
      </c>
      <c r="B7" s="7" t="s">
        <v>39</v>
      </c>
      <c r="C7" s="7" t="s">
        <v>32</v>
      </c>
      <c r="D7" s="7" t="s">
        <v>36</v>
      </c>
      <c r="E7" s="7" t="s">
        <v>33</v>
      </c>
      <c r="F7" s="7" t="s">
        <v>40</v>
      </c>
    </row>
    <row r="8" spans="1:6" x14ac:dyDescent="0.25">
      <c r="A8" s="6" t="s">
        <v>29</v>
      </c>
      <c r="B8" s="7" t="s">
        <v>39</v>
      </c>
      <c r="C8" s="7" t="s">
        <v>31</v>
      </c>
      <c r="D8" s="7" t="s">
        <v>32</v>
      </c>
      <c r="E8" s="7" t="s">
        <v>33</v>
      </c>
      <c r="F8" s="7" t="s">
        <v>41</v>
      </c>
    </row>
    <row r="9" spans="1:6" x14ac:dyDescent="0.25">
      <c r="A9" s="6" t="s">
        <v>35</v>
      </c>
      <c r="B9" s="7" t="s">
        <v>39</v>
      </c>
      <c r="C9" s="7" t="s">
        <v>36</v>
      </c>
      <c r="D9" s="7" t="s">
        <v>31</v>
      </c>
      <c r="E9" s="7" t="s">
        <v>33</v>
      </c>
      <c r="F9" s="7" t="s">
        <v>42</v>
      </c>
    </row>
    <row r="10" spans="1:6" x14ac:dyDescent="0.25">
      <c r="A10" s="6" t="s">
        <v>38</v>
      </c>
      <c r="B10" s="7" t="s">
        <v>43</v>
      </c>
      <c r="C10" s="7" t="s">
        <v>32</v>
      </c>
      <c r="D10" s="7" t="s">
        <v>36</v>
      </c>
      <c r="E10" s="7" t="s">
        <v>44</v>
      </c>
      <c r="F10" s="7" t="s">
        <v>45</v>
      </c>
    </row>
    <row r="11" spans="1:6" x14ac:dyDescent="0.25">
      <c r="A11" s="6" t="s">
        <v>29</v>
      </c>
      <c r="B11" s="7" t="s">
        <v>43</v>
      </c>
      <c r="C11" s="7" t="s">
        <v>31</v>
      </c>
      <c r="D11" s="7" t="s">
        <v>32</v>
      </c>
      <c r="E11" s="7" t="s">
        <v>33</v>
      </c>
      <c r="F1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8" customWidth="1"/>
    <col min="5" max="5" width="16" customWidth="1"/>
  </cols>
  <sheetData>
    <row r="1" spans="1:1" x14ac:dyDescent="0.25">
      <c r="A1" s="1" t="s">
        <v>47</v>
      </c>
    </row>
    <row r="2" spans="1:1" x14ac:dyDescent="0.25">
      <c r="A2" s="2" t="s">
        <v>48</v>
      </c>
    </row>
    <row r="4" spans="1:5" x14ac:dyDescent="0.25">
      <c r="A4" s="5" t="s">
        <v>49</v>
      </c>
      <c r="B4" s="5" t="s">
        <v>50</v>
      </c>
      <c r="C4" s="5" t="s">
        <v>51</v>
      </c>
      <c r="D4" s="5" t="s">
        <v>27</v>
      </c>
      <c r="E4" s="5" t="s">
        <v>52</v>
      </c>
    </row>
    <row r="5" spans="1:5" x14ac:dyDescent="0.25">
      <c r="A5" s="6" t="s">
        <v>53</v>
      </c>
      <c r="B5" s="7" t="s">
        <v>54</v>
      </c>
      <c r="C5" s="7">
        <v>12.4</v>
      </c>
      <c r="D5" s="8" t="s">
        <v>55</v>
      </c>
      <c r="E5" s="7" t="s">
        <v>56</v>
      </c>
    </row>
    <row r="6" spans="1:5" x14ac:dyDescent="0.25">
      <c r="A6" s="6" t="s">
        <v>57</v>
      </c>
      <c r="B6" s="7" t="s">
        <v>58</v>
      </c>
      <c r="C6" s="7">
        <v>18.9</v>
      </c>
      <c r="D6" s="9" t="s">
        <v>59</v>
      </c>
      <c r="E6" s="7" t="s">
        <v>60</v>
      </c>
    </row>
    <row r="7" spans="1:5" x14ac:dyDescent="0.25">
      <c r="A7" s="6" t="s">
        <v>61</v>
      </c>
      <c r="B7" s="7" t="s">
        <v>62</v>
      </c>
      <c r="C7" s="7">
        <v>10.2</v>
      </c>
      <c r="D7" s="8" t="s">
        <v>55</v>
      </c>
      <c r="E7" s="7" t="s">
        <v>63</v>
      </c>
    </row>
    <row r="8" spans="1:5" x14ac:dyDescent="0.25">
      <c r="A8" s="6" t="s">
        <v>64</v>
      </c>
      <c r="B8" s="7" t="s">
        <v>65</v>
      </c>
      <c r="C8" s="7">
        <v>22.1</v>
      </c>
      <c r="D8" s="9" t="s">
        <v>59</v>
      </c>
      <c r="E8" s="7" t="s">
        <v>66</v>
      </c>
    </row>
    <row r="9" spans="1:5" x14ac:dyDescent="0.25">
      <c r="A9" s="6" t="s">
        <v>67</v>
      </c>
      <c r="B9" s="7" t="s">
        <v>68</v>
      </c>
      <c r="C9" s="7">
        <v>14.7</v>
      </c>
      <c r="D9" s="8" t="s">
        <v>55</v>
      </c>
      <c r="E9" s="7" t="s">
        <v>69</v>
      </c>
    </row>
    <row r="10" spans="1:5" x14ac:dyDescent="0.25">
      <c r="A10" s="6" t="s">
        <v>70</v>
      </c>
      <c r="B10" s="7" t="s">
        <v>71</v>
      </c>
      <c r="C10" s="7">
        <v>11.3</v>
      </c>
      <c r="D10" s="8" t="s">
        <v>55</v>
      </c>
      <c r="E10" s="7" t="s">
        <v>72</v>
      </c>
    </row>
    <row r="11" spans="1:5" x14ac:dyDescent="0.25">
      <c r="A11" s="6" t="s">
        <v>73</v>
      </c>
      <c r="B11" s="7" t="s">
        <v>74</v>
      </c>
      <c r="C11" s="7">
        <v>19.8</v>
      </c>
      <c r="D11" s="10" t="s">
        <v>75</v>
      </c>
      <c r="E11" s="7" t="s">
        <v>76</v>
      </c>
    </row>
    <row r="12" spans="1:5" x14ac:dyDescent="0.25">
      <c r="A12" s="6" t="s">
        <v>77</v>
      </c>
      <c r="B12" s="7" t="s">
        <v>78</v>
      </c>
      <c r="C12" s="7">
        <v>13</v>
      </c>
      <c r="D12" s="8" t="s">
        <v>55</v>
      </c>
      <c r="E12" s="7" t="s">
        <v>79</v>
      </c>
    </row>
    <row r="14" spans="1:2" x14ac:dyDescent="0.25">
      <c r="A14" s="11" t="s">
        <v>80</v>
      </c>
      <c r="B14" s="12">
        <f>COUNTIF(D5:D12,"Disponible")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3" width="12" customWidth="1"/>
    <col min="4" max="4" width="14" customWidth="1"/>
    <col min="5" max="5" width="12" customWidth="1"/>
  </cols>
  <sheetData>
    <row r="1" spans="1:1" x14ac:dyDescent="0.25">
      <c r="A1" s="1" t="s">
        <v>81</v>
      </c>
    </row>
    <row r="2" spans="1:1" x14ac:dyDescent="0.25">
      <c r="A2" s="2" t="s">
        <v>82</v>
      </c>
    </row>
    <row r="4" spans="1:5" x14ac:dyDescent="0.25">
      <c r="A4" s="5" t="s">
        <v>83</v>
      </c>
      <c r="B4" s="5" t="s">
        <v>84</v>
      </c>
      <c r="C4" s="5" t="s">
        <v>85</v>
      </c>
      <c r="D4" s="5" t="s">
        <v>86</v>
      </c>
      <c r="E4" s="5" t="s">
        <v>87</v>
      </c>
    </row>
    <row r="5" spans="1:5" x14ac:dyDescent="0.25">
      <c r="A5" s="6" t="s">
        <v>88</v>
      </c>
      <c r="B5" s="7">
        <v>46</v>
      </c>
      <c r="C5" s="13">
        <f>B5/$B$12</f>
      </c>
      <c r="D5" s="14">
        <f>SUM($B$5:B5)/$B$12</f>
      </c>
      <c r="E5" s="7" t="s">
        <v>89</v>
      </c>
    </row>
    <row r="6" spans="1:5" x14ac:dyDescent="0.25">
      <c r="A6" s="6" t="s">
        <v>90</v>
      </c>
      <c r="B6" s="7">
        <v>29</v>
      </c>
      <c r="C6" s="13">
        <f>B6/$B$12</f>
      </c>
      <c r="D6" s="14">
        <f>SUM($B$5:B6)/$B$12</f>
      </c>
      <c r="E6" s="7" t="s">
        <v>89</v>
      </c>
    </row>
    <row r="7" spans="1:5" x14ac:dyDescent="0.25">
      <c r="A7" s="6" t="s">
        <v>91</v>
      </c>
      <c r="B7" s="7">
        <v>28</v>
      </c>
      <c r="C7" s="13">
        <f>B7/$B$12</f>
      </c>
      <c r="D7" s="14">
        <f>SUM($B$5:B7)/$B$12</f>
      </c>
      <c r="E7" s="7" t="s">
        <v>92</v>
      </c>
    </row>
    <row r="8" spans="1:5" x14ac:dyDescent="0.25">
      <c r="A8" s="6" t="s">
        <v>93</v>
      </c>
      <c r="B8" s="7">
        <v>19</v>
      </c>
      <c r="C8" s="13">
        <f>B8/$B$12</f>
      </c>
      <c r="D8" s="13">
        <f>SUM($B$5:B8)/$B$12</f>
      </c>
      <c r="E8" s="7" t="s">
        <v>94</v>
      </c>
    </row>
    <row r="9" spans="1:5" x14ac:dyDescent="0.25">
      <c r="A9" s="6" t="s">
        <v>95</v>
      </c>
      <c r="B9" s="7">
        <v>16</v>
      </c>
      <c r="C9" s="13">
        <f>B9/$B$12</f>
      </c>
      <c r="D9" s="13">
        <f>SUM($B$5:B9)/$B$12</f>
      </c>
      <c r="E9" s="7" t="s">
        <v>92</v>
      </c>
    </row>
    <row r="10" spans="1:5" x14ac:dyDescent="0.25">
      <c r="A10" s="6" t="s">
        <v>96</v>
      </c>
      <c r="B10" s="7">
        <v>7</v>
      </c>
      <c r="C10" s="13">
        <f>B10/$B$12</f>
      </c>
      <c r="D10" s="13">
        <f>SUM($B$5:B10)/$B$12</f>
      </c>
      <c r="E10" s="7" t="s">
        <v>89</v>
      </c>
    </row>
    <row r="11" spans="1:5" x14ac:dyDescent="0.25">
      <c r="A11" s="6" t="s">
        <v>97</v>
      </c>
      <c r="B11" s="7">
        <v>5</v>
      </c>
      <c r="C11" s="13">
        <f>B11/$B$12</f>
      </c>
      <c r="D11" s="13">
        <f>SUM($B$5:B11)/$B$12</f>
      </c>
      <c r="E11" s="7" t="s">
        <v>98</v>
      </c>
    </row>
    <row r="12" spans="1:5" x14ac:dyDescent="0.25">
      <c r="A12" s="15" t="s">
        <v>99</v>
      </c>
      <c r="B12" s="16">
        <v>150</v>
      </c>
      <c r="C12" s="17" t="s">
        <v>100</v>
      </c>
      <c r="D12" s="17" t="s">
        <v>100</v>
      </c>
      <c r="E12" s="17" t="s">
        <v>100</v>
      </c>
    </row>
    <row r="14" spans="1:1" x14ac:dyDescent="0.25">
      <c r="A14" s="18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2" width="14" customWidth="1"/>
    <col min="3" max="3" width="12" customWidth="1"/>
    <col min="4" max="4" width="14" customWidth="1"/>
  </cols>
  <sheetData>
    <row r="1" spans="1:1" x14ac:dyDescent="0.25">
      <c r="A1" s="1" t="s">
        <v>102</v>
      </c>
    </row>
    <row r="2" spans="1:1" x14ac:dyDescent="0.25">
      <c r="A2" s="2" t="s">
        <v>103</v>
      </c>
    </row>
    <row r="4" spans="1:4" x14ac:dyDescent="0.25">
      <c r="A4" s="5" t="s">
        <v>104</v>
      </c>
      <c r="B4" s="5" t="s">
        <v>105</v>
      </c>
      <c r="C4" s="5" t="s">
        <v>106</v>
      </c>
      <c r="D4" s="5" t="s">
        <v>107</v>
      </c>
    </row>
    <row r="5" spans="1:4" x14ac:dyDescent="0.25">
      <c r="A5" s="6" t="s">
        <v>108</v>
      </c>
      <c r="B5" s="7" t="s">
        <v>109</v>
      </c>
      <c r="C5" s="7">
        <v>1200</v>
      </c>
      <c r="D5" s="19">
        <v>0.45</v>
      </c>
    </row>
    <row r="6" spans="1:4" x14ac:dyDescent="0.25">
      <c r="A6" s="6" t="s">
        <v>110</v>
      </c>
      <c r="B6" s="7" t="s">
        <v>111</v>
      </c>
      <c r="C6" s="7">
        <v>850</v>
      </c>
      <c r="D6" s="19">
        <v>0.32</v>
      </c>
    </row>
    <row r="7" spans="1:4" x14ac:dyDescent="0.25">
      <c r="A7" s="6" t="s">
        <v>112</v>
      </c>
      <c r="B7" s="7" t="s">
        <v>113</v>
      </c>
      <c r="C7" s="7">
        <v>1500</v>
      </c>
      <c r="D7" s="19">
        <v>0.56</v>
      </c>
    </row>
    <row r="8" spans="1:4" x14ac:dyDescent="0.25">
      <c r="A8" s="6" t="s">
        <v>114</v>
      </c>
      <c r="B8" s="7" t="s">
        <v>115</v>
      </c>
      <c r="C8" s="7">
        <v>600</v>
      </c>
      <c r="D8" s="19">
        <v>0.23</v>
      </c>
    </row>
    <row r="9" spans="1:4" x14ac:dyDescent="0.25">
      <c r="A9" s="6" t="s">
        <v>116</v>
      </c>
      <c r="B9" s="7" t="s">
        <v>117</v>
      </c>
      <c r="C9" s="7">
        <v>1100</v>
      </c>
      <c r="D9" s="19">
        <v>0.41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6" customWidth="1"/>
    <col min="2" max="3" width="12" customWidth="1"/>
    <col min="4" max="4" width="16" customWidth="1"/>
  </cols>
  <sheetData>
    <row r="1" spans="1:1" x14ac:dyDescent="0.25">
      <c r="A1" s="1" t="s">
        <v>118</v>
      </c>
    </row>
    <row r="2" spans="1:1" x14ac:dyDescent="0.25">
      <c r="A2" s="2" t="s">
        <v>119</v>
      </c>
    </row>
    <row r="4" spans="1:4" x14ac:dyDescent="0.25">
      <c r="A4" s="5" t="s">
        <v>120</v>
      </c>
      <c r="B4" s="5" t="s">
        <v>121</v>
      </c>
      <c r="C4" s="5" t="s">
        <v>122</v>
      </c>
      <c r="D4" s="5" t="s">
        <v>27</v>
      </c>
    </row>
    <row r="5" spans="1:4" x14ac:dyDescent="0.25">
      <c r="A5" s="6" t="s">
        <v>123</v>
      </c>
      <c r="B5" s="7" t="s">
        <v>108</v>
      </c>
      <c r="C5" s="7" t="s">
        <v>124</v>
      </c>
      <c r="D5" s="9" t="s">
        <v>125</v>
      </c>
    </row>
    <row r="6" spans="1:4" x14ac:dyDescent="0.25">
      <c r="A6" s="6" t="s">
        <v>126</v>
      </c>
      <c r="B6" s="7" t="s">
        <v>110</v>
      </c>
      <c r="C6" s="7" t="s">
        <v>127</v>
      </c>
      <c r="D6" s="8" t="s">
        <v>128</v>
      </c>
    </row>
    <row r="7" spans="1:4" x14ac:dyDescent="0.25">
      <c r="A7" s="6" t="s">
        <v>129</v>
      </c>
      <c r="B7" s="7" t="s">
        <v>112</v>
      </c>
      <c r="C7" s="7" t="s">
        <v>130</v>
      </c>
      <c r="D7" s="9" t="s">
        <v>125</v>
      </c>
    </row>
    <row r="8" spans="1:4" x14ac:dyDescent="0.25">
      <c r="A8" s="6" t="s">
        <v>131</v>
      </c>
      <c r="B8" s="7" t="s">
        <v>114</v>
      </c>
      <c r="C8" s="7" t="s">
        <v>124</v>
      </c>
      <c r="D8" s="8" t="s">
        <v>128</v>
      </c>
    </row>
    <row r="9" spans="1:4" x14ac:dyDescent="0.25">
      <c r="A9" s="6" t="s">
        <v>132</v>
      </c>
      <c r="B9" s="7" t="s">
        <v>116</v>
      </c>
      <c r="C9" s="7" t="s">
        <v>133</v>
      </c>
      <c r="D9" s="9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D15"/>
  <sheetFormatPr defaultRowHeight="15" outlineLevelRow="0" outlineLevelCol="0" x14ac:dyDescent="55"/>
  <cols>
    <col min="1" max="1" width="22" customWidth="1"/>
    <col min="2" max="2" width="14" customWidth="1"/>
    <col min="3" max="3" width="16" customWidth="1"/>
    <col min="4" max="4" width="30" customWidth="1"/>
  </cols>
  <sheetData>
    <row r="1" spans="1:1" x14ac:dyDescent="0.25">
      <c r="A1" s="1" t="s">
        <v>134</v>
      </c>
    </row>
    <row r="2" spans="1:1" x14ac:dyDescent="0.25">
      <c r="A2" s="2" t="s">
        <v>135</v>
      </c>
    </row>
    <row r="4" spans="1:4" x14ac:dyDescent="0.25">
      <c r="A4" s="5" t="s">
        <v>136</v>
      </c>
      <c r="B4" s="5" t="s">
        <v>137</v>
      </c>
      <c r="C4" s="5" t="s">
        <v>27</v>
      </c>
      <c r="D4" s="5" t="s">
        <v>138</v>
      </c>
    </row>
    <row r="5" spans="1:4" x14ac:dyDescent="0.25">
      <c r="A5" s="6" t="s">
        <v>139</v>
      </c>
      <c r="B5" s="7" t="s">
        <v>140</v>
      </c>
      <c r="C5" s="20" t="s">
        <v>141</v>
      </c>
      <c r="D5" s="7" t="s">
        <v>142</v>
      </c>
    </row>
    <row r="6" spans="1:4" x14ac:dyDescent="0.25">
      <c r="A6" s="6" t="s">
        <v>143</v>
      </c>
      <c r="B6" s="7" t="s">
        <v>144</v>
      </c>
      <c r="C6" s="21" t="s">
        <v>145</v>
      </c>
      <c r="D6" s="7" t="s">
        <v>146</v>
      </c>
    </row>
    <row r="7" spans="1:4" x14ac:dyDescent="0.25">
      <c r="A7" s="6" t="s">
        <v>147</v>
      </c>
      <c r="B7" s="7" t="s">
        <v>148</v>
      </c>
      <c r="C7" s="21" t="s">
        <v>145</v>
      </c>
      <c r="D7" s="7" t="s">
        <v>149</v>
      </c>
    </row>
    <row r="8" spans="1:4" x14ac:dyDescent="0.25">
      <c r="A8" s="6" t="s">
        <v>125</v>
      </c>
      <c r="B8" s="7" t="s">
        <v>150</v>
      </c>
      <c r="C8" s="22" t="s">
        <v>151</v>
      </c>
      <c r="D8" s="7" t="s">
        <v>152</v>
      </c>
    </row>
    <row r="9" spans="1:4" x14ac:dyDescent="0.25">
      <c r="A9" s="6" t="s">
        <v>153</v>
      </c>
      <c r="B9" s="7" t="s">
        <v>154</v>
      </c>
      <c r="C9" s="20" t="s">
        <v>141</v>
      </c>
      <c r="D9" s="7" t="s">
        <v>155</v>
      </c>
    </row>
    <row r="12" spans="1:1" x14ac:dyDescent="0.25">
      <c r="A12" s="11" t="s">
        <v>156</v>
      </c>
    </row>
    <row r="13" spans="1:2" x14ac:dyDescent="0.25">
      <c r="A13" s="23" t="s">
        <v>145</v>
      </c>
      <c r="B13" t="s">
        <v>157</v>
      </c>
    </row>
    <row r="14" spans="1:2" x14ac:dyDescent="0.25">
      <c r="A14" s="24" t="s">
        <v>151</v>
      </c>
      <c r="B14" t="s">
        <v>158</v>
      </c>
    </row>
    <row r="15" spans="1:2" x14ac:dyDescent="0.25">
      <c r="A15" s="25" t="s">
        <v>159</v>
      </c>
      <c r="B15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▶ INICIO</vt:lpstr>
      <vt:lpstr>01 · Respaldos</vt:lpstr>
      <vt:lpstr>02 · Totes</vt:lpstr>
      <vt:lpstr>03 · Rechazos</vt:lpstr>
      <vt:lpstr>04 · Paso</vt:lpstr>
      <vt:lpstr>05 · Tránsito</vt:lpstr>
      <vt:lpstr>06 · 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Gaspar Aguayo</dc:creator>
  <dc:title/>
  <dc:subject/>
  <dc:description/>
  <cp:keywords/>
  <cp:category/>
  <cp:lastModifiedBy>Unknown</cp:lastModifiedBy>
  <dcterms:created xsi:type="dcterms:W3CDTF">2026-08-17T18:59:50Z</dcterms:created>
  <dcterms:modified xsi:type="dcterms:W3CDTF">2026-08-17T18:59:50Z</dcterms:modified>
</cp:coreProperties>
</file>